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f24d733a650eaaa/Área de Trabalho/MARCAJO/"/>
    </mc:Choice>
  </mc:AlternateContent>
  <xr:revisionPtr revIDLastSave="0" documentId="8_{708DFD91-BF36-4D75-BAC7-DDA83BB4D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dastr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6" i="1"/>
</calcChain>
</file>

<file path=xl/sharedStrings.xml><?xml version="1.0" encoding="utf-8"?>
<sst xmlns="http://schemas.openxmlformats.org/spreadsheetml/2006/main" count="123" uniqueCount="80">
  <si>
    <t>CADASTRO DE PRODUTOS — PRECIFICADOR E-COMMERCE</t>
  </si>
  <si>
    <t>Preencha a partir da linha 4. Coluna 'Código Interno' é obrigatória. Campos vazios nos parâmetros fiscais usam os Parâmetros Globais. CNPJ + Cód. Fornecedor criam vínculo para futuras importações XML.</t>
  </si>
  <si>
    <t>* Código Interno</t>
  </si>
  <si>
    <t>Descrição</t>
  </si>
  <si>
    <t>NCM</t>
  </si>
  <si>
    <t>Qtd</t>
  </si>
  <si>
    <t>Custo Unit.</t>
  </si>
  <si>
    <t>IPI Unit.</t>
  </si>
  <si>
    <t>Frete Unit.</t>
  </si>
  <si>
    <t>ST Unit.</t>
  </si>
  <si>
    <t>Tem DIFAL?</t>
  </si>
  <si>
    <t>Alíq. DIFAL (%)</t>
  </si>
  <si>
    <t>FCP (%)</t>
  </si>
  <si>
    <t>Tem ST?</t>
  </si>
  <si>
    <t>Alíq. ST (%)</t>
  </si>
  <si>
    <t>Tem Antecip.?</t>
  </si>
  <si>
    <t>Alíq. Antecip. (%)</t>
  </si>
  <si>
    <t>Créd. ICMS?</t>
  </si>
  <si>
    <t>Alíq. Créd. ICMS (%)</t>
  </si>
  <si>
    <t>Créd. PIS/COFINS?</t>
  </si>
  <si>
    <t>Alíq. Créd. PIS/COFINS (%)</t>
  </si>
  <si>
    <t>Alíq. Interna (%)</t>
  </si>
  <si>
    <t>Margem (%)</t>
  </si>
  <si>
    <t>CNPJ Fornecedor</t>
  </si>
  <si>
    <t>Cód. Fornecedor</t>
  </si>
  <si>
    <t>Fornecedor</t>
  </si>
  <si>
    <t>Obs.</t>
  </si>
  <si>
    <t>Obrigatório. Chave alfanumérica única.</t>
  </si>
  <si>
    <t>Nome do produto.</t>
  </si>
  <si>
    <t>Código NCM (8 dígitos).</t>
  </si>
  <si>
    <t>Quantidade da última compra.</t>
  </si>
  <si>
    <t>Custo unitário s/ impostos (R$).</t>
  </si>
  <si>
    <t>IPI unitário da NF (R$).</t>
  </si>
  <si>
    <t>Frete rateado unitário (R$).</t>
  </si>
  <si>
    <t>ICMS-ST pago na entrada, unitário (R$).</t>
  </si>
  <si>
    <t>Sim/Não. Vazio = usa global.</t>
  </si>
  <si>
    <t>Vazio = usa global.</t>
  </si>
  <si>
    <t>ICMS interna do estado. Vazio = global.</t>
  </si>
  <si>
    <t>Margem individual. Vazio = global.</t>
  </si>
  <si>
    <t>Opcional. Cria vínculo p/ import XML.</t>
  </si>
  <si>
    <t>Código do produto no fornecedor (cProd).</t>
  </si>
  <si>
    <t>Nome do fornecedor (opcional).</t>
  </si>
  <si>
    <t>Observações livres.</t>
  </si>
  <si>
    <t>SKU-0001</t>
  </si>
  <si>
    <t>Sim</t>
  </si>
  <si>
    <t>SKU-0002</t>
  </si>
  <si>
    <t>SKU-0003</t>
  </si>
  <si>
    <t>Poste Munich, 01 E-27, 2,20m, 01 vidro cilindro (incluso), P-42/1  S/V</t>
  </si>
  <si>
    <t>Poste Munich, 01 E-27, 2,20m, 01 vidro cilindro (incluso), P-42/1  S/V OV</t>
  </si>
  <si>
    <t>Poste Munich, 02 E-27, 2,20m, 02 vidros cilindros (inclusos), P-42/2</t>
  </si>
  <si>
    <t>Poste Munich, 02 E-27, 2,20m, 02 vidros cilindros (inclusos), P-42/2 OURO VELHO</t>
  </si>
  <si>
    <t>Arandela Bolt Meia Face Pequena, 01 E-27, 100% Policarbonato, 4236</t>
  </si>
  <si>
    <t>Arandela Bolt Meia Face Pequena, 01 E-27, 100% Policarbonato, 4236 OURO VELHO</t>
  </si>
  <si>
    <t>Arandela Bolt Meia Face Grande, 01 E-27, 100% Policarbonato, 4237</t>
  </si>
  <si>
    <t>Arandela Bolt Meia Face Grande, 01 E-27, 100% Policarbonato, 4237 OURO VELHO</t>
  </si>
  <si>
    <t>4238 OURO VELHO</t>
  </si>
  <si>
    <t>TARTARUGA OVAL 4014</t>
  </si>
  <si>
    <t xml:space="preserve"> TARTARUGA OVAL 4015</t>
  </si>
  <si>
    <t>GOMO PRETO</t>
  </si>
  <si>
    <t>GOMO BRANCO</t>
  </si>
  <si>
    <t>GOMO VERDE</t>
  </si>
  <si>
    <t>GOMO MARROM</t>
  </si>
  <si>
    <t>GOMO PRATA VELHA</t>
  </si>
  <si>
    <t>GOMO OURO VELHO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</si>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</sst>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i/>
      <sz val="8"/>
      <color rgb="FF595959"/>
      <name val="Arial"/>
    </font>
    <font>
      <sz val="10"/>
      <color rgb="FF000000"/>
      <name val="Arial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workbookViewId="0">
      <selection activeCell="Y19" sqref="Y19"/>
    </sheetView>
  </sheetViews>
  <sheetFormatPr defaultRowHeight="15" x14ac:dyDescent="0.25"/>
  <cols>
    <col min="1" max="1" width="16" customWidth="1"/>
    <col min="2" max="2" width="75.28515625" bestFit="1" customWidth="1"/>
    <col min="3" max="3" width="12" customWidth="1"/>
    <col min="4" max="4" width="8" customWidth="1"/>
    <col min="5" max="5" width="14" customWidth="1"/>
    <col min="6" max="6" width="12" customWidth="1"/>
    <col min="7" max="7" width="14" customWidth="1"/>
    <col min="8" max="8" width="12" customWidth="1"/>
    <col min="9" max="21" width="14" customWidth="1"/>
    <col min="22" max="22" width="18" customWidth="1"/>
    <col min="23" max="23" width="16" customWidth="1"/>
    <col min="24" max="24" width="22" customWidth="1"/>
    <col min="25" max="25" width="24" customWidth="1"/>
  </cols>
  <sheetData>
    <row r="1" spans="1:25" ht="26.1" customHeight="1" x14ac:dyDescent="0.25">
      <c r="A1" s="13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7.9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6" customHeight="1" x14ac:dyDescent="0.25"/>
    <row r="4" spans="1:25" ht="39.950000000000003" customHeight="1" x14ac:dyDescent="0.2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ht="32.1" customHeight="1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36</v>
      </c>
      <c r="L5" s="3" t="s">
        <v>35</v>
      </c>
      <c r="M5" s="3" t="s">
        <v>36</v>
      </c>
      <c r="N5" s="3" t="s">
        <v>35</v>
      </c>
      <c r="O5" s="3" t="s">
        <v>36</v>
      </c>
      <c r="P5" s="3" t="s">
        <v>35</v>
      </c>
      <c r="Q5" s="3" t="s">
        <v>36</v>
      </c>
      <c r="R5" s="3" t="s">
        <v>35</v>
      </c>
      <c r="S5" s="3" t="s">
        <v>36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</row>
    <row r="6" spans="1:25" ht="18" customHeight="1" x14ac:dyDescent="0.25">
      <c r="A6" s="4" t="s">
        <v>43</v>
      </c>
      <c r="B6" s="8" t="s">
        <v>47</v>
      </c>
      <c r="C6" s="9">
        <v>94054090</v>
      </c>
      <c r="D6">
        <v>1</v>
      </c>
      <c r="E6" s="5">
        <v>42.21</v>
      </c>
      <c r="F6" s="5">
        <v>0</v>
      </c>
      <c r="G6" s="5">
        <v>0</v>
      </c>
      <c r="H6" s="5">
        <f>E6*(1+M6%)*18%-E6*12%</f>
        <v>6.255522</v>
      </c>
      <c r="I6" s="5" t="s">
        <v>79</v>
      </c>
      <c r="J6" s="5">
        <v>0</v>
      </c>
      <c r="K6" s="5">
        <v>0</v>
      </c>
      <c r="L6" s="7" t="s">
        <v>44</v>
      </c>
      <c r="M6" s="5">
        <v>49</v>
      </c>
      <c r="N6" s="5"/>
      <c r="O6" s="5"/>
      <c r="P6" s="5"/>
      <c r="Q6" s="5"/>
      <c r="R6" s="5"/>
      <c r="S6" s="5"/>
      <c r="T6" s="5">
        <v>18</v>
      </c>
      <c r="U6" s="5"/>
      <c r="V6" s="4"/>
      <c r="W6" s="4"/>
      <c r="X6" s="4"/>
      <c r="Y6" s="4"/>
    </row>
    <row r="7" spans="1:25" ht="18" customHeight="1" x14ac:dyDescent="0.25">
      <c r="A7" s="6" t="s">
        <v>45</v>
      </c>
      <c r="B7" s="8" t="s">
        <v>48</v>
      </c>
      <c r="C7" s="9">
        <v>94054090</v>
      </c>
      <c r="D7">
        <v>1</v>
      </c>
      <c r="E7" s="7">
        <v>46.43</v>
      </c>
      <c r="F7" s="7">
        <v>0</v>
      </c>
      <c r="G7" s="5">
        <v>0</v>
      </c>
      <c r="H7" s="5">
        <f t="shared" ref="H7:H23" si="0">E7*(1+M7%)*18%-E7*12%</f>
        <v>6.8809260000000005</v>
      </c>
      <c r="I7" s="5" t="s">
        <v>79</v>
      </c>
      <c r="J7" s="5">
        <v>0</v>
      </c>
      <c r="K7" s="5">
        <v>0</v>
      </c>
      <c r="L7" s="7" t="s">
        <v>44</v>
      </c>
      <c r="M7" s="5">
        <v>49</v>
      </c>
      <c r="N7" s="7"/>
      <c r="O7" s="7"/>
      <c r="P7" s="7"/>
      <c r="Q7" s="7"/>
      <c r="R7" s="7"/>
      <c r="S7" s="7"/>
      <c r="T7" s="5">
        <v>18</v>
      </c>
      <c r="U7" s="7"/>
      <c r="V7" s="4"/>
      <c r="W7" s="4"/>
      <c r="X7" s="4"/>
      <c r="Y7" s="4"/>
    </row>
    <row r="8" spans="1:25" ht="18" customHeight="1" x14ac:dyDescent="0.25">
      <c r="A8" s="4" t="s">
        <v>46</v>
      </c>
      <c r="B8" s="8" t="s">
        <v>49</v>
      </c>
      <c r="C8" s="9">
        <v>94054090</v>
      </c>
      <c r="D8">
        <v>1</v>
      </c>
      <c r="E8" s="5">
        <v>40.36</v>
      </c>
      <c r="F8" s="5">
        <v>0</v>
      </c>
      <c r="G8" s="5">
        <v>0</v>
      </c>
      <c r="H8" s="5">
        <f t="shared" si="0"/>
        <v>5.9813520000000011</v>
      </c>
      <c r="I8" s="5" t="s">
        <v>79</v>
      </c>
      <c r="J8" s="5">
        <v>0</v>
      </c>
      <c r="K8" s="5">
        <v>0</v>
      </c>
      <c r="L8" s="7" t="s">
        <v>44</v>
      </c>
      <c r="M8" s="5">
        <v>49</v>
      </c>
      <c r="N8" s="5"/>
      <c r="O8" s="5"/>
      <c r="P8" s="5"/>
      <c r="Q8" s="5"/>
      <c r="R8" s="5"/>
      <c r="S8" s="5"/>
      <c r="T8" s="5">
        <v>18</v>
      </c>
      <c r="U8" s="5"/>
      <c r="V8" s="4"/>
      <c r="W8" s="4"/>
      <c r="X8" s="4"/>
      <c r="Y8" s="4"/>
    </row>
    <row r="9" spans="1:25" x14ac:dyDescent="0.25">
      <c r="A9" s="4" t="s">
        <v>64</v>
      </c>
      <c r="B9" s="8" t="s">
        <v>50</v>
      </c>
      <c r="C9" s="9">
        <v>94054090</v>
      </c>
      <c r="D9">
        <v>1</v>
      </c>
      <c r="E9" s="10">
        <v>44.39</v>
      </c>
      <c r="F9" s="5">
        <v>0</v>
      </c>
      <c r="G9" s="5">
        <v>0</v>
      </c>
      <c r="H9" s="5">
        <f t="shared" si="0"/>
        <v>6.5785979999999986</v>
      </c>
      <c r="I9" s="5" t="s">
        <v>79</v>
      </c>
      <c r="J9" s="5">
        <v>0</v>
      </c>
      <c r="K9" s="5">
        <v>0</v>
      </c>
      <c r="L9" s="7" t="s">
        <v>44</v>
      </c>
      <c r="M9" s="5">
        <v>49</v>
      </c>
      <c r="T9" s="5">
        <v>18</v>
      </c>
      <c r="V9" s="4"/>
      <c r="W9" s="4"/>
      <c r="X9" s="4"/>
    </row>
    <row r="10" spans="1:25" x14ac:dyDescent="0.25">
      <c r="A10" s="4" t="s">
        <v>65</v>
      </c>
      <c r="B10" s="8" t="s">
        <v>51</v>
      </c>
      <c r="C10" s="9">
        <v>94051099</v>
      </c>
      <c r="D10">
        <v>1</v>
      </c>
      <c r="E10" s="10">
        <v>39.53</v>
      </c>
      <c r="F10" s="5">
        <v>0</v>
      </c>
      <c r="G10" s="5">
        <v>0</v>
      </c>
      <c r="H10" s="5">
        <f t="shared" si="0"/>
        <v>5.8583460000000001</v>
      </c>
      <c r="I10" s="5" t="s">
        <v>79</v>
      </c>
      <c r="J10" s="5">
        <v>0</v>
      </c>
      <c r="K10" s="5">
        <v>0</v>
      </c>
      <c r="L10" s="7" t="s">
        <v>44</v>
      </c>
      <c r="M10" s="5">
        <v>49</v>
      </c>
      <c r="T10" s="5">
        <v>18</v>
      </c>
      <c r="V10" s="4"/>
      <c r="W10" s="4"/>
      <c r="X10" s="4"/>
    </row>
    <row r="11" spans="1:25" x14ac:dyDescent="0.25">
      <c r="A11" s="4" t="s">
        <v>66</v>
      </c>
      <c r="B11" s="8" t="s">
        <v>52</v>
      </c>
      <c r="C11" s="9">
        <v>94051099</v>
      </c>
      <c r="D11">
        <v>1</v>
      </c>
      <c r="E11" s="10">
        <v>44.36</v>
      </c>
      <c r="F11" s="5">
        <v>0</v>
      </c>
      <c r="G11" s="5">
        <v>0</v>
      </c>
      <c r="H11" s="5">
        <f t="shared" si="0"/>
        <v>6.5741519999999998</v>
      </c>
      <c r="I11" s="5" t="s">
        <v>79</v>
      </c>
      <c r="J11" s="5">
        <v>0</v>
      </c>
      <c r="K11" s="5">
        <v>0</v>
      </c>
      <c r="L11" s="7" t="s">
        <v>44</v>
      </c>
      <c r="M11" s="5">
        <v>49</v>
      </c>
      <c r="T11" s="5">
        <v>18</v>
      </c>
      <c r="V11" s="4"/>
      <c r="W11" s="4"/>
      <c r="X11" s="4"/>
    </row>
    <row r="12" spans="1:25" x14ac:dyDescent="0.25">
      <c r="A12" s="4" t="s">
        <v>67</v>
      </c>
      <c r="B12" s="8" t="s">
        <v>53</v>
      </c>
      <c r="C12" s="9">
        <v>94051099</v>
      </c>
      <c r="D12">
        <v>1</v>
      </c>
      <c r="E12" s="10">
        <v>39.39</v>
      </c>
      <c r="F12" s="5">
        <v>0</v>
      </c>
      <c r="G12" s="5">
        <v>0</v>
      </c>
      <c r="H12" s="5">
        <f t="shared" si="0"/>
        <v>5.837597999999999</v>
      </c>
      <c r="I12" s="5" t="s">
        <v>79</v>
      </c>
      <c r="J12" s="5">
        <v>0</v>
      </c>
      <c r="K12" s="5">
        <v>0</v>
      </c>
      <c r="L12" s="7" t="s">
        <v>44</v>
      </c>
      <c r="M12" s="5">
        <v>49</v>
      </c>
      <c r="T12" s="5">
        <v>18</v>
      </c>
      <c r="V12" s="4"/>
      <c r="W12" s="4"/>
      <c r="X12" s="4"/>
    </row>
    <row r="13" spans="1:25" x14ac:dyDescent="0.25">
      <c r="A13" s="4" t="s">
        <v>68</v>
      </c>
      <c r="B13" s="8" t="s">
        <v>54</v>
      </c>
      <c r="C13" s="9">
        <v>94051099</v>
      </c>
      <c r="D13">
        <v>1</v>
      </c>
      <c r="E13" s="10">
        <v>43.32</v>
      </c>
      <c r="F13" s="5">
        <v>0</v>
      </c>
      <c r="G13" s="5">
        <v>0</v>
      </c>
      <c r="H13" s="5">
        <f t="shared" si="0"/>
        <v>6.4200240000000015</v>
      </c>
      <c r="I13" s="5" t="s">
        <v>79</v>
      </c>
      <c r="J13" s="5">
        <v>0</v>
      </c>
      <c r="K13" s="5">
        <v>0</v>
      </c>
      <c r="L13" s="7" t="s">
        <v>44</v>
      </c>
      <c r="M13" s="5">
        <v>49</v>
      </c>
      <c r="T13" s="5">
        <v>18</v>
      </c>
      <c r="V13" s="4"/>
      <c r="W13" s="4"/>
      <c r="X13" s="4"/>
    </row>
    <row r="14" spans="1:25" x14ac:dyDescent="0.25">
      <c r="A14" s="4" t="s">
        <v>69</v>
      </c>
      <c r="B14" s="8">
        <v>4238</v>
      </c>
      <c r="C14" s="9">
        <v>94051099</v>
      </c>
      <c r="D14">
        <v>1</v>
      </c>
      <c r="E14" s="10">
        <v>56.31</v>
      </c>
      <c r="F14" s="5">
        <v>0</v>
      </c>
      <c r="G14" s="5">
        <v>0</v>
      </c>
      <c r="H14" s="5">
        <f t="shared" si="0"/>
        <v>8.3451419999999992</v>
      </c>
      <c r="I14" s="5" t="s">
        <v>79</v>
      </c>
      <c r="J14" s="5">
        <v>0</v>
      </c>
      <c r="K14" s="5">
        <v>0</v>
      </c>
      <c r="L14" s="7" t="s">
        <v>44</v>
      </c>
      <c r="M14" s="5">
        <v>49</v>
      </c>
      <c r="T14" s="5">
        <v>18</v>
      </c>
      <c r="V14" s="4"/>
      <c r="W14" s="4"/>
      <c r="X14" s="4"/>
    </row>
    <row r="15" spans="1:25" x14ac:dyDescent="0.25">
      <c r="A15" s="4" t="s">
        <v>70</v>
      </c>
      <c r="B15" s="8" t="s">
        <v>55</v>
      </c>
      <c r="C15" s="9">
        <v>94051099</v>
      </c>
      <c r="D15">
        <v>1</v>
      </c>
      <c r="E15" s="10">
        <v>61.94</v>
      </c>
      <c r="F15" s="5">
        <v>0</v>
      </c>
      <c r="G15" s="5">
        <v>0</v>
      </c>
      <c r="H15" s="5">
        <f t="shared" si="0"/>
        <v>9.1795079999999984</v>
      </c>
      <c r="I15" s="5" t="s">
        <v>79</v>
      </c>
      <c r="J15" s="5">
        <v>0</v>
      </c>
      <c r="K15" s="5">
        <v>0</v>
      </c>
      <c r="L15" s="7" t="s">
        <v>44</v>
      </c>
      <c r="M15" s="5">
        <v>49</v>
      </c>
      <c r="T15" s="5">
        <v>18</v>
      </c>
      <c r="V15" s="4"/>
      <c r="W15" s="4"/>
      <c r="X15" s="4"/>
    </row>
    <row r="16" spans="1:25" x14ac:dyDescent="0.25">
      <c r="A16" s="4" t="s">
        <v>71</v>
      </c>
      <c r="B16" s="8" t="s">
        <v>56</v>
      </c>
      <c r="C16" s="9">
        <v>94051099</v>
      </c>
      <c r="D16">
        <v>1</v>
      </c>
      <c r="E16" s="10">
        <v>54.52</v>
      </c>
      <c r="F16" s="5">
        <v>0</v>
      </c>
      <c r="G16" s="5">
        <v>0</v>
      </c>
      <c r="H16" s="5">
        <f t="shared" si="0"/>
        <v>8.0798640000000006</v>
      </c>
      <c r="I16" s="5" t="s">
        <v>79</v>
      </c>
      <c r="J16" s="5">
        <v>0</v>
      </c>
      <c r="K16" s="5">
        <v>0</v>
      </c>
      <c r="L16" s="7" t="s">
        <v>44</v>
      </c>
      <c r="M16" s="5">
        <v>49</v>
      </c>
      <c r="T16" s="5">
        <v>18</v>
      </c>
      <c r="V16" s="4"/>
      <c r="W16" s="4"/>
      <c r="X16" s="4"/>
    </row>
    <row r="17" spans="1:24" x14ac:dyDescent="0.25">
      <c r="A17" s="4" t="s">
        <v>72</v>
      </c>
      <c r="B17" s="8" t="s">
        <v>57</v>
      </c>
      <c r="C17" s="9">
        <v>94051099</v>
      </c>
      <c r="D17">
        <v>1</v>
      </c>
      <c r="E17" s="10">
        <v>59.97</v>
      </c>
      <c r="F17" s="5">
        <v>0</v>
      </c>
      <c r="G17" s="5">
        <v>0</v>
      </c>
      <c r="H17" s="5">
        <f t="shared" si="0"/>
        <v>8.887553999999998</v>
      </c>
      <c r="I17" s="5" t="s">
        <v>79</v>
      </c>
      <c r="J17" s="5">
        <v>0</v>
      </c>
      <c r="K17" s="5">
        <v>0</v>
      </c>
      <c r="L17" s="7" t="s">
        <v>44</v>
      </c>
      <c r="M17" s="5">
        <v>49</v>
      </c>
      <c r="T17" s="5">
        <v>18</v>
      </c>
      <c r="V17" s="4"/>
      <c r="W17" s="4"/>
      <c r="X17" s="4"/>
    </row>
    <row r="18" spans="1:24" x14ac:dyDescent="0.25">
      <c r="A18" s="4" t="s">
        <v>73</v>
      </c>
      <c r="B18" s="8" t="s">
        <v>58</v>
      </c>
      <c r="C18" s="9">
        <v>94054090</v>
      </c>
      <c r="D18">
        <v>1</v>
      </c>
      <c r="E18" s="10">
        <v>49.73</v>
      </c>
      <c r="F18" s="5">
        <v>0</v>
      </c>
      <c r="G18" s="5">
        <v>0</v>
      </c>
      <c r="H18" s="5">
        <f t="shared" si="0"/>
        <v>7.369985999999999</v>
      </c>
      <c r="I18" s="5" t="s">
        <v>79</v>
      </c>
      <c r="J18" s="5">
        <v>0</v>
      </c>
      <c r="K18" s="5">
        <v>0</v>
      </c>
      <c r="L18" s="7" t="s">
        <v>44</v>
      </c>
      <c r="M18" s="5">
        <v>49</v>
      </c>
      <c r="T18" s="5">
        <v>18</v>
      </c>
      <c r="V18" s="4"/>
      <c r="W18" s="4"/>
      <c r="X18" s="4"/>
    </row>
    <row r="19" spans="1:24" x14ac:dyDescent="0.25">
      <c r="A19" s="4" t="s">
        <v>74</v>
      </c>
      <c r="B19" s="8" t="s">
        <v>59</v>
      </c>
      <c r="C19" s="9">
        <v>94054090</v>
      </c>
      <c r="D19">
        <v>1</v>
      </c>
      <c r="E19" s="10">
        <v>54.7</v>
      </c>
      <c r="F19" s="5">
        <v>0</v>
      </c>
      <c r="G19" s="5">
        <v>0</v>
      </c>
      <c r="H19" s="5">
        <f t="shared" si="0"/>
        <v>8.106539999999999</v>
      </c>
      <c r="I19" s="5" t="s">
        <v>79</v>
      </c>
      <c r="J19" s="5">
        <v>0</v>
      </c>
      <c r="K19" s="5">
        <v>0</v>
      </c>
      <c r="L19" s="7" t="s">
        <v>44</v>
      </c>
      <c r="M19" s="5">
        <v>49</v>
      </c>
      <c r="T19" s="5">
        <v>18</v>
      </c>
      <c r="V19" s="4"/>
      <c r="W19" s="4"/>
      <c r="X19" s="4"/>
    </row>
    <row r="20" spans="1:24" x14ac:dyDescent="0.25">
      <c r="A20" s="4" t="s">
        <v>75</v>
      </c>
      <c r="B20" s="8" t="s">
        <v>60</v>
      </c>
      <c r="C20" s="9">
        <v>94054090</v>
      </c>
      <c r="D20">
        <v>1</v>
      </c>
      <c r="E20" s="10">
        <v>46.91</v>
      </c>
      <c r="F20" s="5">
        <v>0</v>
      </c>
      <c r="G20" s="5">
        <v>0</v>
      </c>
      <c r="H20" s="5">
        <f t="shared" si="0"/>
        <v>6.9520619999999997</v>
      </c>
      <c r="I20" s="5" t="s">
        <v>79</v>
      </c>
      <c r="J20" s="5">
        <v>0</v>
      </c>
      <c r="K20" s="5">
        <v>0</v>
      </c>
      <c r="L20" s="7" t="s">
        <v>44</v>
      </c>
      <c r="M20" s="5">
        <v>49</v>
      </c>
      <c r="T20" s="5">
        <v>18</v>
      </c>
      <c r="V20" s="4"/>
      <c r="W20" s="4"/>
      <c r="X20" s="4"/>
    </row>
    <row r="21" spans="1:24" x14ac:dyDescent="0.25">
      <c r="A21" s="4" t="s">
        <v>76</v>
      </c>
      <c r="B21" s="8" t="s">
        <v>61</v>
      </c>
      <c r="C21" s="9">
        <v>94054090</v>
      </c>
      <c r="D21">
        <v>1</v>
      </c>
      <c r="E21" s="10">
        <v>51.6</v>
      </c>
      <c r="F21" s="5">
        <v>0</v>
      </c>
      <c r="G21" s="5">
        <v>0</v>
      </c>
      <c r="H21" s="5">
        <f t="shared" si="0"/>
        <v>7.6471199999999993</v>
      </c>
      <c r="I21" s="5" t="s">
        <v>79</v>
      </c>
      <c r="J21" s="5">
        <v>0</v>
      </c>
      <c r="K21" s="5">
        <v>0</v>
      </c>
      <c r="L21" s="7" t="s">
        <v>44</v>
      </c>
      <c r="M21" s="5">
        <v>49</v>
      </c>
      <c r="T21" s="5">
        <v>18</v>
      </c>
      <c r="V21" s="4"/>
      <c r="W21" s="4"/>
      <c r="X21" s="4"/>
    </row>
    <row r="22" spans="1:24" x14ac:dyDescent="0.25">
      <c r="A22" s="4" t="s">
        <v>77</v>
      </c>
      <c r="B22" s="8" t="s">
        <v>62</v>
      </c>
      <c r="C22" s="9">
        <v>94054090</v>
      </c>
      <c r="D22">
        <v>1</v>
      </c>
      <c r="E22" s="10">
        <v>77.930000000000007</v>
      </c>
      <c r="F22" s="5">
        <v>0</v>
      </c>
      <c r="G22" s="5">
        <v>0</v>
      </c>
      <c r="H22" s="5">
        <f t="shared" si="0"/>
        <v>11.549225999999997</v>
      </c>
      <c r="I22" s="5" t="s">
        <v>79</v>
      </c>
      <c r="J22" s="5">
        <v>0</v>
      </c>
      <c r="K22" s="5">
        <v>0</v>
      </c>
      <c r="L22" s="7" t="s">
        <v>44</v>
      </c>
      <c r="M22" s="5">
        <v>49</v>
      </c>
      <c r="T22" s="5">
        <v>18</v>
      </c>
      <c r="V22" s="4"/>
      <c r="W22" s="4"/>
      <c r="X22" s="4"/>
    </row>
    <row r="23" spans="1:24" x14ac:dyDescent="0.25">
      <c r="A23" s="4" t="s">
        <v>78</v>
      </c>
      <c r="B23" s="8" t="s">
        <v>63</v>
      </c>
      <c r="C23" s="9">
        <v>94054090</v>
      </c>
      <c r="D23">
        <v>1</v>
      </c>
      <c r="E23" s="10">
        <v>85.72</v>
      </c>
      <c r="F23" s="5">
        <v>0</v>
      </c>
      <c r="G23" s="5">
        <v>0</v>
      </c>
      <c r="H23" s="5">
        <f t="shared" si="0"/>
        <v>12.703704</v>
      </c>
      <c r="I23" s="5" t="s">
        <v>79</v>
      </c>
      <c r="J23" s="5">
        <v>0</v>
      </c>
      <c r="K23" s="5">
        <v>0</v>
      </c>
      <c r="L23" s="7" t="s">
        <v>44</v>
      </c>
      <c r="M23" s="5">
        <v>49</v>
      </c>
      <c r="T23" s="5">
        <v>18</v>
      </c>
      <c r="V23" s="4"/>
      <c r="W23" s="4"/>
      <c r="X23" s="4"/>
    </row>
  </sheetData>
  <mergeCells count="2">
    <mergeCell ref="A2:Y2"/>
    <mergeCell ref="A1:Y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Ismael Nascimento</cp:lastModifiedBy>
  <dcterms:created xsi:type="dcterms:W3CDTF">2026-04-21T00:53:24Z</dcterms:created>
  <dcterms:modified xsi:type="dcterms:W3CDTF">2026-04-21T00:59:22Z</dcterms:modified>
</cp:coreProperties>
</file>